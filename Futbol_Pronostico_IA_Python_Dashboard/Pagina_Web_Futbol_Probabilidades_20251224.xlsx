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E:\CodigoBasicoPython\DashBoard_Wifi_git\Dashboards_Iterativos\Dashboard_Futbol_Pronostico_IA\"/>
    </mc:Choice>
  </mc:AlternateContent>
  <xr:revisionPtr revIDLastSave="0" documentId="13_ncr:1_{60CCA0C3-1BA4-4FFB-8BBE-AC59788C3E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inas_WEB" sheetId="1" r:id="rId1"/>
    <sheet name="Plantilla_Pronostic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6" i="2" l="1"/>
  <c r="AD6" i="2"/>
  <c r="Y6" i="2"/>
  <c r="X6" i="2"/>
</calcChain>
</file>

<file path=xl/sharedStrings.xml><?xml version="1.0" encoding="utf-8"?>
<sst xmlns="http://schemas.openxmlformats.org/spreadsheetml/2006/main" count="190" uniqueCount="107">
  <si>
    <t>Sitio / App</t>
  </si>
  <si>
    <t>Tipo</t>
  </si>
  <si>
    <t>Predicciones / Datos</t>
  </si>
  <si>
    <t>Estimación de probabilidad de acierto</t>
  </si>
  <si>
    <t>SportyTrader</t>
  </si>
  <si>
    <t>Sitio de pronósticos deportivos</t>
  </si>
  <si>
    <t>✔️ Pronósticos explícitos</t>
  </si>
  <si>
    <t>≈ 70 % – 75 %</t>
  </si>
  <si>
    <t>OddsChecker</t>
  </si>
  <si>
    <t>Comparador de cuotas + pronósticos del mercado</t>
  </si>
  <si>
    <t>❌ No es modelo propio, pero refleja probabilidades del mercado</t>
  </si>
  <si>
    <t>≈ 60 % – 70 % (implícito)</t>
  </si>
  <si>
    <t>FotMob</t>
  </si>
  <si>
    <t>Estadísticas y pronósticos sociales/usuarios</t>
  </si>
  <si>
    <t>📉 Predice (modo “FotMob Predict”)</t>
  </si>
  <si>
    <r>
      <t>≈ 50 % – 60 %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(estimado)</t>
    </r>
  </si>
  <si>
    <t>SofaScore</t>
  </si>
  <si>
    <t>Estadísticas en vivo + tips de apuestas</t>
  </si>
  <si>
    <t>📉 Puede dar “betting tips” y odds de mercado</t>
  </si>
  <si>
    <t>WhoScored</t>
  </si>
  <si>
    <t>Transfermarkt</t>
  </si>
  <si>
    <t>Mercado de transferencias + estadísticas</t>
  </si>
  <si>
    <t>❌ No modelo de predicción formal</t>
  </si>
  <si>
    <r>
      <t>≈ 40 % – 50 %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(estimado)</t>
    </r>
  </si>
  <si>
    <t>FiveThirtyEight</t>
  </si>
  <si>
    <t>Web (estadístico)</t>
  </si>
  <si>
    <t>Probabilidades de victoria, empate, descenso, títulos</t>
  </si>
  <si>
    <t>65–70%</t>
  </si>
  <si>
    <t>Forebet</t>
  </si>
  <si>
    <t>Web</t>
  </si>
  <si>
    <t>Marcadores exactos, 1X2, over/under</t>
  </si>
  <si>
    <t>68–72%</t>
  </si>
  <si>
    <t>PredictZ</t>
  </si>
  <si>
    <t>1X2, tendencias, resultados probables</t>
  </si>
  <si>
    <t>60–65%</t>
  </si>
  <si>
    <t>Windrawwin</t>
  </si>
  <si>
    <t>1X2, BTTS, over/under</t>
  </si>
  <si>
    <t>Web / App</t>
  </si>
  <si>
    <t>Ratings de jugadores, tácticas, estadísticas</t>
  </si>
  <si>
    <t>BetExplorer</t>
  </si>
  <si>
    <t>Cuotas, resultados, estadísticas H2H</t>
  </si>
  <si>
    <t>62–66%</t>
  </si>
  <si>
    <t>FlashScore</t>
  </si>
  <si>
    <t>Resultados en vivo, estadísticas básicas</t>
  </si>
  <si>
    <t>55–60%</t>
  </si>
  <si>
    <t>FootyStats</t>
  </si>
  <si>
    <t>xG, BTTS, over/under, tendencias</t>
  </si>
  <si>
    <t>Kickoff.ai</t>
  </si>
  <si>
    <t>Predicciones por IA (1X2, goles)</t>
  </si>
  <si>
    <t>FiveThirtyEight / ABC News / Disney</t>
  </si>
  <si>
    <t>WinDrawWin</t>
  </si>
  <si>
    <t>WhoScored.com Ltd.</t>
  </si>
  <si>
    <t>Dirección URL</t>
  </si>
  <si>
    <t>¿Pago?</t>
  </si>
  <si>
    <t>País de creación</t>
  </si>
  <si>
    <t>Empresa creadora</t>
  </si>
  <si>
    <t>https://fivethirtyeight.com</t>
  </si>
  <si>
    <t>No</t>
  </si>
  <si>
    <t>Estados Unidos</t>
  </si>
  <si>
    <t>https://www.sportytrader.com</t>
  </si>
  <si>
    <t>Freemium</t>
  </si>
  <si>
    <t>Francia</t>
  </si>
  <si>
    <t>https://www.forebet.com</t>
  </si>
  <si>
    <t>No público</t>
  </si>
  <si>
    <t>https://www.predictz.com</t>
  </si>
  <si>
    <t>Reino Unido</t>
  </si>
  <si>
    <t>https://www.windrawwin.com</t>
  </si>
  <si>
    <t>https://www.oddschecker.com</t>
  </si>
  <si>
    <t>Oddschecker Global Media</t>
  </si>
  <si>
    <t>https://www.fotmob.com</t>
  </si>
  <si>
    <t>Noruega</t>
  </si>
  <si>
    <t>FotMob AS</t>
  </si>
  <si>
    <t>https://www.sofascore.com</t>
  </si>
  <si>
    <t>Croacia</t>
  </si>
  <si>
    <t>SofaScore Ltd.</t>
  </si>
  <si>
    <t>https://www.whoscored.com</t>
  </si>
  <si>
    <t>https://www.betexplorer.com</t>
  </si>
  <si>
    <t>República Checa</t>
  </si>
  <si>
    <t>Livesport s.r.o.</t>
  </si>
  <si>
    <t>https://www.flashscore.com</t>
  </si>
  <si>
    <t>https://footystats.org</t>
  </si>
  <si>
    <t>Freemium (Premium pago)</t>
  </si>
  <si>
    <t>https://kickoff.ai</t>
  </si>
  <si>
    <t>https://www.transfermarkt.com</t>
  </si>
  <si>
    <t>Alemania</t>
  </si>
  <si>
    <t>Transfermarkt GmbH &amp; Co. KG</t>
  </si>
  <si>
    <t>Desde 2024 - Hasta 2026</t>
  </si>
  <si>
    <r>
      <t xml:space="preserve">≈ 50 % – 60 % </t>
    </r>
    <r>
      <rPr>
        <b/>
        <i/>
        <sz val="11"/>
        <color theme="1"/>
        <rFont val="Calibri"/>
        <family val="2"/>
        <scheme val="minor"/>
      </rPr>
      <t>(estimado)</t>
    </r>
  </si>
  <si>
    <r>
      <t xml:space="preserve">≈ 40 % – 50 % </t>
    </r>
    <r>
      <rPr>
        <b/>
        <i/>
        <sz val="11"/>
        <color theme="1"/>
        <rFont val="Calibri"/>
        <family val="2"/>
        <scheme val="minor"/>
      </rPr>
      <t>(estimado)</t>
    </r>
  </si>
  <si>
    <t>Probabilidad Software personal con Datos de todos los partidos jugados por cada equipo</t>
  </si>
  <si>
    <t>Probabilidad Software personal con Datos de todos los partidos jugados entre los 2 equipos</t>
  </si>
  <si>
    <t>PROBABILIDADES DE RESULTADOS DE PARTIDOS DE FUTBOL</t>
  </si>
  <si>
    <t>https://www.oddschecker.com/</t>
  </si>
  <si>
    <t>Fecha de partido</t>
  </si>
  <si>
    <t>Equipos Local</t>
  </si>
  <si>
    <t>Equipo Visitante</t>
  </si>
  <si>
    <t>Goles Visitante</t>
  </si>
  <si>
    <t>Goles Local</t>
  </si>
  <si>
    <t>OBTENER PROMEDIO DE TODOS LOS RESULTADOS CON UN PORCENTAJE DE IMPORTANCIA PARA CADA PRONOSTICO</t>
  </si>
  <si>
    <t>OBTENER PROMEDIO DE TODOS LOS RESULTADOS DE LAS PAGINAS WEB</t>
  </si>
  <si>
    <t>RESULTADO EXPERTO 1</t>
  </si>
  <si>
    <t>RESULTADO EXPERTO 2</t>
  </si>
  <si>
    <t>En el total, este tiene un % de :</t>
  </si>
  <si>
    <t xml:space="preserve">El porcentaje en el total es : </t>
  </si>
  <si>
    <t>El porcentaje del total es:</t>
  </si>
  <si>
    <t>EJEMPLO</t>
  </si>
  <si>
    <t xml:space="preserve">EJEMPLO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</si>
</sst>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3" borderId="1" xfId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4" fillId="3" borderId="1" xfId="1" applyFont="1" applyFill="1" applyBorder="1" applyAlignment="1">
      <alignment vertical="center" wrapText="1"/>
    </xf>
    <xf numFmtId="0" fontId="0" fillId="4" borderId="0" xfId="0" applyFill="1"/>
    <xf numFmtId="0" fontId="0" fillId="6" borderId="0" xfId="0" applyFill="1"/>
    <xf numFmtId="0" fontId="1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3" fillId="7" borderId="1" xfId="1" applyFill="1" applyBorder="1" applyAlignment="1">
      <alignment vertical="center" wrapText="1"/>
    </xf>
    <xf numFmtId="0" fontId="0" fillId="6" borderId="0" xfId="0" applyFont="1" applyFill="1"/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left" vertical="center" wrapText="1"/>
    </xf>
    <xf numFmtId="0" fontId="3" fillId="5" borderId="1" xfId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2" borderId="0" xfId="0" applyFill="1"/>
    <xf numFmtId="0" fontId="0" fillId="5" borderId="0" xfId="0" applyFill="1"/>
    <xf numFmtId="0" fontId="1" fillId="2" borderId="1" xfId="0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fascore.com/" TargetMode="External"/><Relationship Id="rId13" Type="http://schemas.openxmlformats.org/officeDocument/2006/relationships/hyperlink" Target="https://kickoff.ai/" TargetMode="External"/><Relationship Id="rId3" Type="http://schemas.openxmlformats.org/officeDocument/2006/relationships/hyperlink" Target="https://www.forebet.com/" TargetMode="External"/><Relationship Id="rId7" Type="http://schemas.openxmlformats.org/officeDocument/2006/relationships/hyperlink" Target="https://www.fotmob.com/" TargetMode="External"/><Relationship Id="rId12" Type="http://schemas.openxmlformats.org/officeDocument/2006/relationships/hyperlink" Target="https://footystats.org/" TargetMode="External"/><Relationship Id="rId2" Type="http://schemas.openxmlformats.org/officeDocument/2006/relationships/hyperlink" Target="https://www.sportytrader.com/" TargetMode="External"/><Relationship Id="rId1" Type="http://schemas.openxmlformats.org/officeDocument/2006/relationships/hyperlink" Target="https://fivethirtyeight.com/" TargetMode="External"/><Relationship Id="rId6" Type="http://schemas.openxmlformats.org/officeDocument/2006/relationships/hyperlink" Target="https://www.oddschecker.com/" TargetMode="External"/><Relationship Id="rId11" Type="http://schemas.openxmlformats.org/officeDocument/2006/relationships/hyperlink" Target="https://www.flashscore.com/" TargetMode="External"/><Relationship Id="rId5" Type="http://schemas.openxmlformats.org/officeDocument/2006/relationships/hyperlink" Target="https://www.windrawwin.com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betexplorer.com/" TargetMode="External"/><Relationship Id="rId4" Type="http://schemas.openxmlformats.org/officeDocument/2006/relationships/hyperlink" Target="https://www.predictz.com/" TargetMode="External"/><Relationship Id="rId9" Type="http://schemas.openxmlformats.org/officeDocument/2006/relationships/hyperlink" Target="https://www.whoscored.com/" TargetMode="External"/><Relationship Id="rId14" Type="http://schemas.openxmlformats.org/officeDocument/2006/relationships/hyperlink" Target="https://www.transfermarkt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ootystats.org/" TargetMode="External"/><Relationship Id="rId2" Type="http://schemas.openxmlformats.org/officeDocument/2006/relationships/hyperlink" Target="https://www.sofascore.com/" TargetMode="External"/><Relationship Id="rId1" Type="http://schemas.openxmlformats.org/officeDocument/2006/relationships/hyperlink" Target="https://www.forebet.com/" TargetMode="External"/><Relationship Id="rId5" Type="http://schemas.openxmlformats.org/officeDocument/2006/relationships/hyperlink" Target="https://www.transfermarkt.com/" TargetMode="External"/><Relationship Id="rId4" Type="http://schemas.openxmlformats.org/officeDocument/2006/relationships/hyperlink" Target="https://kickoff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topLeftCell="A7" workbookViewId="0">
      <selection activeCell="D3" sqref="D3"/>
    </sheetView>
  </sheetViews>
  <sheetFormatPr baseColWidth="10" defaultColWidth="8.88671875" defaultRowHeight="14.4" x14ac:dyDescent="0.3"/>
  <cols>
    <col min="1" max="1" width="18.44140625" customWidth="1"/>
    <col min="2" max="2" width="19.44140625" customWidth="1"/>
    <col min="3" max="3" width="33.33203125" customWidth="1"/>
    <col min="4" max="4" width="27.88671875" customWidth="1"/>
    <col min="5" max="5" width="40" customWidth="1"/>
  </cols>
  <sheetData>
    <row r="1" spans="1:8" s="12" customFormat="1" ht="30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 s="8" customFormat="1" ht="58.8" customHeight="1" x14ac:dyDescent="0.3">
      <c r="A2" s="9" t="s">
        <v>24</v>
      </c>
      <c r="B2" s="10" t="s">
        <v>25</v>
      </c>
      <c r="C2" s="10" t="s">
        <v>26</v>
      </c>
      <c r="D2" s="10" t="s">
        <v>27</v>
      </c>
      <c r="E2" s="11" t="s">
        <v>56</v>
      </c>
      <c r="F2" s="10" t="s">
        <v>57</v>
      </c>
      <c r="G2" s="10" t="s">
        <v>58</v>
      </c>
      <c r="H2" s="10" t="s">
        <v>49</v>
      </c>
    </row>
    <row r="3" spans="1:8" s="8" customFormat="1" ht="39.6" customHeight="1" x14ac:dyDescent="0.3">
      <c r="A3" s="9" t="s">
        <v>4</v>
      </c>
      <c r="B3" s="10" t="s">
        <v>5</v>
      </c>
      <c r="C3" s="10" t="s">
        <v>6</v>
      </c>
      <c r="D3" s="9" t="s">
        <v>7</v>
      </c>
      <c r="E3" s="11" t="s">
        <v>59</v>
      </c>
      <c r="F3" s="10" t="s">
        <v>60</v>
      </c>
      <c r="G3" s="10" t="s">
        <v>61</v>
      </c>
      <c r="H3" s="10" t="s">
        <v>4</v>
      </c>
    </row>
    <row r="4" spans="1:8" s="7" customFormat="1" ht="36" customHeight="1" x14ac:dyDescent="0.3">
      <c r="A4" s="2" t="s">
        <v>28</v>
      </c>
      <c r="B4" s="3" t="s">
        <v>29</v>
      </c>
      <c r="C4" s="3" t="s">
        <v>30</v>
      </c>
      <c r="D4" s="3" t="s">
        <v>31</v>
      </c>
      <c r="E4" s="4" t="s">
        <v>62</v>
      </c>
      <c r="F4" s="3" t="s">
        <v>57</v>
      </c>
      <c r="G4" s="3" t="s">
        <v>63</v>
      </c>
      <c r="H4" s="3" t="s">
        <v>63</v>
      </c>
    </row>
    <row r="5" spans="1:8" s="8" customFormat="1" ht="31.8" customHeight="1" x14ac:dyDescent="0.3">
      <c r="A5" s="9" t="s">
        <v>32</v>
      </c>
      <c r="B5" s="10" t="s">
        <v>29</v>
      </c>
      <c r="C5" s="10" t="s">
        <v>33</v>
      </c>
      <c r="D5" s="10" t="s">
        <v>34</v>
      </c>
      <c r="E5" s="11" t="s">
        <v>64</v>
      </c>
      <c r="F5" s="10" t="s">
        <v>57</v>
      </c>
      <c r="G5" s="10" t="s">
        <v>65</v>
      </c>
      <c r="H5" s="10" t="s">
        <v>32</v>
      </c>
    </row>
    <row r="6" spans="1:8" s="8" customFormat="1" ht="30" customHeight="1" x14ac:dyDescent="0.3">
      <c r="A6" s="9" t="s">
        <v>35</v>
      </c>
      <c r="B6" s="10" t="s">
        <v>29</v>
      </c>
      <c r="C6" s="10" t="s">
        <v>36</v>
      </c>
      <c r="D6" s="10" t="s">
        <v>27</v>
      </c>
      <c r="E6" s="11" t="s">
        <v>66</v>
      </c>
      <c r="F6" s="10" t="s">
        <v>57</v>
      </c>
      <c r="G6" s="10" t="s">
        <v>65</v>
      </c>
      <c r="H6" s="10" t="s">
        <v>50</v>
      </c>
    </row>
    <row r="7" spans="1:8" s="8" customFormat="1" ht="30.6" customHeight="1" x14ac:dyDescent="0.3">
      <c r="A7" s="2" t="s">
        <v>8</v>
      </c>
      <c r="B7" s="3" t="s">
        <v>9</v>
      </c>
      <c r="C7" s="3" t="s">
        <v>10</v>
      </c>
      <c r="D7" s="2" t="s">
        <v>11</v>
      </c>
      <c r="E7" s="4" t="s">
        <v>67</v>
      </c>
      <c r="F7" s="3" t="s">
        <v>57</v>
      </c>
      <c r="G7" s="3" t="s">
        <v>65</v>
      </c>
      <c r="H7" s="3" t="s">
        <v>68</v>
      </c>
    </row>
    <row r="8" spans="1:8" s="8" customFormat="1" ht="24" customHeight="1" x14ac:dyDescent="0.3">
      <c r="A8" s="2" t="s">
        <v>12</v>
      </c>
      <c r="B8" s="3" t="s">
        <v>13</v>
      </c>
      <c r="C8" s="3" t="s">
        <v>14</v>
      </c>
      <c r="D8" s="2" t="s">
        <v>15</v>
      </c>
      <c r="E8" s="4" t="s">
        <v>69</v>
      </c>
      <c r="F8" s="3" t="s">
        <v>57</v>
      </c>
      <c r="G8" s="3" t="s">
        <v>70</v>
      </c>
      <c r="H8" s="3" t="s">
        <v>71</v>
      </c>
    </row>
    <row r="9" spans="1:8" s="8" customFormat="1" ht="30" customHeight="1" x14ac:dyDescent="0.3">
      <c r="A9" s="2" t="s">
        <v>16</v>
      </c>
      <c r="B9" s="3" t="s">
        <v>17</v>
      </c>
      <c r="C9" s="3" t="s">
        <v>18</v>
      </c>
      <c r="D9" s="2" t="s">
        <v>15</v>
      </c>
      <c r="E9" s="4" t="s">
        <v>72</v>
      </c>
      <c r="F9" s="3" t="s">
        <v>57</v>
      </c>
      <c r="G9" s="3" t="s">
        <v>73</v>
      </c>
      <c r="H9" s="3" t="s">
        <v>74</v>
      </c>
    </row>
    <row r="10" spans="1:8" s="8" customFormat="1" ht="28.8" customHeight="1" x14ac:dyDescent="0.3">
      <c r="A10" s="9" t="s">
        <v>19</v>
      </c>
      <c r="B10" s="10" t="s">
        <v>29</v>
      </c>
      <c r="C10" s="10" t="s">
        <v>38</v>
      </c>
      <c r="D10" s="10" t="s">
        <v>34</v>
      </c>
      <c r="E10" s="11" t="s">
        <v>75</v>
      </c>
      <c r="F10" s="10" t="s">
        <v>57</v>
      </c>
      <c r="G10" s="10" t="s">
        <v>65</v>
      </c>
      <c r="H10" s="10" t="s">
        <v>51</v>
      </c>
    </row>
    <row r="11" spans="1:8" s="8" customFormat="1" ht="28.8" customHeight="1" x14ac:dyDescent="0.3">
      <c r="A11" s="9" t="s">
        <v>39</v>
      </c>
      <c r="B11" s="10" t="s">
        <v>29</v>
      </c>
      <c r="C11" s="10" t="s">
        <v>40</v>
      </c>
      <c r="D11" s="10" t="s">
        <v>41</v>
      </c>
      <c r="E11" s="11" t="s">
        <v>76</v>
      </c>
      <c r="F11" s="10" t="s">
        <v>57</v>
      </c>
      <c r="G11" s="10" t="s">
        <v>77</v>
      </c>
      <c r="H11" s="10" t="s">
        <v>78</v>
      </c>
    </row>
    <row r="12" spans="1:8" s="8" customFormat="1" ht="37.799999999999997" customHeight="1" x14ac:dyDescent="0.3">
      <c r="A12" s="2" t="s">
        <v>42</v>
      </c>
      <c r="B12" s="3" t="s">
        <v>37</v>
      </c>
      <c r="C12" s="3" t="s">
        <v>43</v>
      </c>
      <c r="D12" s="3" t="s">
        <v>44</v>
      </c>
      <c r="E12" s="4" t="s">
        <v>79</v>
      </c>
      <c r="F12" s="3" t="s">
        <v>57</v>
      </c>
      <c r="G12" s="3" t="s">
        <v>77</v>
      </c>
      <c r="H12" s="3" t="s">
        <v>78</v>
      </c>
    </row>
    <row r="13" spans="1:8" s="12" customFormat="1" ht="21" customHeight="1" x14ac:dyDescent="0.3">
      <c r="A13" s="2" t="s">
        <v>45</v>
      </c>
      <c r="B13" s="5" t="s">
        <v>29</v>
      </c>
      <c r="C13" s="5" t="s">
        <v>46</v>
      </c>
      <c r="D13" s="5" t="s">
        <v>27</v>
      </c>
      <c r="E13" s="6" t="s">
        <v>80</v>
      </c>
      <c r="F13" s="5" t="s">
        <v>81</v>
      </c>
      <c r="G13" s="5" t="s">
        <v>65</v>
      </c>
      <c r="H13" s="5" t="s">
        <v>45</v>
      </c>
    </row>
    <row r="14" spans="1:8" s="8" customFormat="1" ht="24.6" customHeight="1" x14ac:dyDescent="0.3">
      <c r="A14" s="2" t="s">
        <v>47</v>
      </c>
      <c r="B14" s="3" t="s">
        <v>29</v>
      </c>
      <c r="C14" s="3" t="s">
        <v>48</v>
      </c>
      <c r="D14" s="3" t="s">
        <v>27</v>
      </c>
      <c r="E14" s="4" t="s">
        <v>82</v>
      </c>
      <c r="F14" s="3" t="s">
        <v>60</v>
      </c>
      <c r="G14" s="3" t="s">
        <v>63</v>
      </c>
      <c r="H14" s="3" t="s">
        <v>47</v>
      </c>
    </row>
    <row r="15" spans="1:8" s="8" customFormat="1" ht="24" customHeight="1" x14ac:dyDescent="0.3">
      <c r="A15" s="2" t="s">
        <v>20</v>
      </c>
      <c r="B15" s="3" t="s">
        <v>21</v>
      </c>
      <c r="C15" s="3" t="s">
        <v>22</v>
      </c>
      <c r="D15" s="2" t="s">
        <v>23</v>
      </c>
      <c r="E15" s="4" t="s">
        <v>83</v>
      </c>
      <c r="F15" s="3" t="s">
        <v>57</v>
      </c>
      <c r="G15" s="3" t="s">
        <v>84</v>
      </c>
      <c r="H15" s="3" t="s">
        <v>85</v>
      </c>
    </row>
  </sheetData>
  <hyperlinks>
    <hyperlink ref="E2" r:id="rId1" xr:uid="{EF1A2474-541D-4A53-896D-CD7D29665BCA}"/>
    <hyperlink ref="E3" r:id="rId2" xr:uid="{7CE2CDBD-8DCF-4E59-ABCA-6119CE1F1690}"/>
    <hyperlink ref="E4" r:id="rId3" xr:uid="{29F529B7-A431-4A35-9EAA-72C5D7E13956}"/>
    <hyperlink ref="E5" r:id="rId4" xr:uid="{9923C2AC-EFC9-4EDE-A530-A256C1B70640}"/>
    <hyperlink ref="E6" r:id="rId5" xr:uid="{8ECE50D8-ABDD-42D8-BC3C-5701D06A1C7C}"/>
    <hyperlink ref="E7" r:id="rId6" xr:uid="{B52E7CE8-CF26-4EA2-B9F4-DDFC958C2B0F}"/>
    <hyperlink ref="E8" r:id="rId7" xr:uid="{635FC991-65D7-4C3F-8E06-72A87CA1835A}"/>
    <hyperlink ref="E9" r:id="rId8" xr:uid="{AE703910-2D72-40EE-959C-21964CD1624B}"/>
    <hyperlink ref="E10" r:id="rId9" xr:uid="{8F3702FA-A293-4D8E-A932-F64D6A350006}"/>
    <hyperlink ref="E11" r:id="rId10" xr:uid="{3408BC9B-4863-4CF7-ADEF-478697424795}"/>
    <hyperlink ref="E12" r:id="rId11" xr:uid="{5F591180-0CAF-4D3E-9E3B-AF72CE3CA8DF}"/>
    <hyperlink ref="E13" r:id="rId12" xr:uid="{45800AAB-8C5B-4C9E-A387-919451F60F27}"/>
    <hyperlink ref="E14" r:id="rId13" display="https://kickoff.ai/" xr:uid="{46622D48-18CD-4F06-BD9A-31195D3A9993}"/>
    <hyperlink ref="E15" r:id="rId14" xr:uid="{EA8EBD7F-7BA0-491A-BAF5-B66BB181E0D6}"/>
  </hyperlinks>
  <pageMargins left="0.7" right="0.7" top="0.75" bottom="0.75" header="0.3" footer="0.3"/>
  <pageSetup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9524-557F-4D78-B210-CEDC33F0DFC6}">
  <dimension ref="A1:AE22"/>
  <sheetViews>
    <sheetView topLeftCell="R1" workbookViewId="0">
      <selection activeCell="H18" sqref="H18"/>
    </sheetView>
  </sheetViews>
  <sheetFormatPr baseColWidth="10" defaultRowHeight="14.4" x14ac:dyDescent="0.3"/>
  <cols>
    <col min="1" max="1" width="18.44140625" customWidth="1"/>
    <col min="2" max="3" width="23.88671875" customWidth="1"/>
    <col min="5" max="5" width="16.77734375" customWidth="1"/>
    <col min="6" max="7" width="21.21875" customWidth="1"/>
    <col min="8" max="9" width="18.33203125" customWidth="1"/>
    <col min="10" max="11" width="18.6640625" customWidth="1"/>
    <col min="12" max="13" width="17.6640625" customWidth="1"/>
    <col min="14" max="15" width="19.6640625" customWidth="1"/>
    <col min="16" max="17" width="15.77734375" customWidth="1"/>
    <col min="18" max="19" width="15.44140625" customWidth="1"/>
    <col min="20" max="20" width="17.88671875" customWidth="1"/>
    <col min="21" max="21" width="8.109375" customWidth="1"/>
    <col min="22" max="22" width="14.44140625" customWidth="1"/>
    <col min="23" max="23" width="14.33203125" customWidth="1"/>
    <col min="26" max="26" width="22.44140625" customWidth="1"/>
    <col min="27" max="27" width="20.88671875" customWidth="1"/>
  </cols>
  <sheetData>
    <row r="1" spans="1:31" x14ac:dyDescent="0.3">
      <c r="A1" s="23" t="s">
        <v>91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19"/>
      <c r="AE1" s="19"/>
    </row>
    <row r="2" spans="1:31" ht="86.4" customHeight="1" x14ac:dyDescent="0.3">
      <c r="A2" s="23" t="s">
        <v>93</v>
      </c>
      <c r="B2" s="23" t="s">
        <v>94</v>
      </c>
      <c r="C2" s="23" t="s">
        <v>95</v>
      </c>
      <c r="D2" s="21" t="s">
        <v>28</v>
      </c>
      <c r="E2" s="21"/>
      <c r="F2" s="21" t="s">
        <v>8</v>
      </c>
      <c r="G2" s="21"/>
      <c r="H2" s="21" t="s">
        <v>12</v>
      </c>
      <c r="I2" s="21"/>
      <c r="J2" s="21" t="s">
        <v>16</v>
      </c>
      <c r="K2" s="21"/>
      <c r="L2" s="21" t="s">
        <v>42</v>
      </c>
      <c r="M2" s="21"/>
      <c r="N2" s="21" t="s">
        <v>45</v>
      </c>
      <c r="O2" s="21"/>
      <c r="P2" s="21" t="s">
        <v>47</v>
      </c>
      <c r="Q2" s="21"/>
      <c r="R2" s="21" t="s">
        <v>20</v>
      </c>
      <c r="S2" s="21"/>
      <c r="T2" s="21" t="s">
        <v>89</v>
      </c>
      <c r="U2" s="21"/>
      <c r="V2" s="21" t="s">
        <v>90</v>
      </c>
      <c r="W2" s="21"/>
      <c r="X2" s="26" t="s">
        <v>99</v>
      </c>
      <c r="Y2" s="27"/>
      <c r="Z2" s="23" t="s">
        <v>100</v>
      </c>
      <c r="AA2" s="23"/>
      <c r="AB2" s="23" t="s">
        <v>101</v>
      </c>
      <c r="AC2" s="23"/>
      <c r="AD2" s="21" t="s">
        <v>98</v>
      </c>
      <c r="AE2" s="21"/>
    </row>
    <row r="3" spans="1:31" ht="28.8" customHeight="1" x14ac:dyDescent="0.3">
      <c r="A3" s="23"/>
      <c r="B3" s="23"/>
      <c r="C3" s="23"/>
      <c r="D3" s="21" t="s">
        <v>31</v>
      </c>
      <c r="E3" s="21"/>
      <c r="F3" s="21" t="s">
        <v>11</v>
      </c>
      <c r="G3" s="21"/>
      <c r="H3" s="21" t="s">
        <v>87</v>
      </c>
      <c r="I3" s="21"/>
      <c r="J3" s="21" t="s">
        <v>87</v>
      </c>
      <c r="K3" s="21"/>
      <c r="L3" s="21" t="s">
        <v>44</v>
      </c>
      <c r="M3" s="21"/>
      <c r="N3" s="21" t="s">
        <v>27</v>
      </c>
      <c r="O3" s="21"/>
      <c r="P3" s="21" t="s">
        <v>27</v>
      </c>
      <c r="Q3" s="21"/>
      <c r="R3" s="21" t="s">
        <v>88</v>
      </c>
      <c r="S3" s="21"/>
      <c r="T3" s="21" t="s">
        <v>86</v>
      </c>
      <c r="U3" s="21"/>
      <c r="V3" s="21" t="s">
        <v>86</v>
      </c>
      <c r="W3" s="21"/>
      <c r="X3" s="28" t="s">
        <v>102</v>
      </c>
      <c r="Y3" s="28">
        <v>33</v>
      </c>
      <c r="Z3" s="23" t="s">
        <v>103</v>
      </c>
      <c r="AA3" s="23">
        <v>33</v>
      </c>
      <c r="AB3" s="24" t="s">
        <v>104</v>
      </c>
      <c r="AC3" s="23">
        <v>33</v>
      </c>
      <c r="AD3" s="21"/>
      <c r="AE3" s="21"/>
    </row>
    <row r="4" spans="1:31" ht="43.2" customHeight="1" x14ac:dyDescent="0.3">
      <c r="A4" s="23"/>
      <c r="B4" s="23"/>
      <c r="C4" s="23"/>
      <c r="D4" s="22" t="s">
        <v>62</v>
      </c>
      <c r="E4" s="22"/>
      <c r="F4" s="17" t="s">
        <v>92</v>
      </c>
      <c r="G4" s="17"/>
      <c r="H4" s="17" t="s">
        <v>69</v>
      </c>
      <c r="I4" s="17"/>
      <c r="J4" s="22" t="s">
        <v>72</v>
      </c>
      <c r="K4" s="22"/>
      <c r="L4" s="17" t="s">
        <v>79</v>
      </c>
      <c r="M4" s="17"/>
      <c r="N4" s="22" t="s">
        <v>80</v>
      </c>
      <c r="O4" s="22"/>
      <c r="P4" s="22" t="s">
        <v>82</v>
      </c>
      <c r="Q4" s="22"/>
      <c r="R4" s="22" t="s">
        <v>83</v>
      </c>
      <c r="S4" s="22"/>
      <c r="T4" s="21"/>
      <c r="U4" s="21"/>
      <c r="V4" s="21"/>
      <c r="W4" s="21"/>
      <c r="X4" s="29"/>
      <c r="Y4" s="29"/>
      <c r="Z4" s="23"/>
      <c r="AA4" s="23"/>
      <c r="AB4" s="25"/>
      <c r="AC4" s="23"/>
      <c r="AD4" s="21"/>
      <c r="AE4" s="21"/>
    </row>
    <row r="5" spans="1:31" x14ac:dyDescent="0.3">
      <c r="A5" s="23"/>
      <c r="B5" s="23"/>
      <c r="C5" s="23"/>
      <c r="D5" s="17" t="s">
        <v>97</v>
      </c>
      <c r="E5" s="17" t="s">
        <v>96</v>
      </c>
      <c r="F5" s="17" t="s">
        <v>97</v>
      </c>
      <c r="G5" s="17" t="s">
        <v>96</v>
      </c>
      <c r="H5" s="17" t="s">
        <v>97</v>
      </c>
      <c r="I5" s="17" t="s">
        <v>96</v>
      </c>
      <c r="J5" s="17" t="s">
        <v>97</v>
      </c>
      <c r="K5" s="17" t="s">
        <v>96</v>
      </c>
      <c r="L5" s="17" t="s">
        <v>97</v>
      </c>
      <c r="M5" s="17" t="s">
        <v>96</v>
      </c>
      <c r="N5" s="17" t="s">
        <v>97</v>
      </c>
      <c r="O5" s="17" t="s">
        <v>96</v>
      </c>
      <c r="P5" s="17" t="s">
        <v>97</v>
      </c>
      <c r="Q5" s="17" t="s">
        <v>96</v>
      </c>
      <c r="R5" s="17" t="s">
        <v>97</v>
      </c>
      <c r="S5" s="17" t="s">
        <v>96</v>
      </c>
      <c r="T5" s="17" t="s">
        <v>97</v>
      </c>
      <c r="U5" s="17" t="s">
        <v>96</v>
      </c>
      <c r="V5" s="17" t="s">
        <v>97</v>
      </c>
      <c r="W5" s="17" t="s">
        <v>96</v>
      </c>
      <c r="X5" s="17" t="s">
        <v>97</v>
      </c>
      <c r="Y5" s="17" t="s">
        <v>96</v>
      </c>
      <c r="Z5" s="17" t="s">
        <v>97</v>
      </c>
      <c r="AA5" s="17" t="s">
        <v>96</v>
      </c>
      <c r="AB5" s="17" t="s">
        <v>97</v>
      </c>
      <c r="AC5" s="17" t="s">
        <v>96</v>
      </c>
      <c r="AD5" s="17" t="s">
        <v>97</v>
      </c>
      <c r="AE5" s="17" t="s">
        <v>96</v>
      </c>
    </row>
    <row r="6" spans="1:31" x14ac:dyDescent="0.3">
      <c r="A6" s="13" t="s">
        <v>105</v>
      </c>
      <c r="B6" s="13" t="s">
        <v>106</v>
      </c>
      <c r="C6" s="13" t="s">
        <v>105</v>
      </c>
      <c r="D6" s="13">
        <v>1</v>
      </c>
      <c r="E6" s="13">
        <v>2</v>
      </c>
      <c r="F6" s="13">
        <v>3</v>
      </c>
      <c r="G6" s="13">
        <v>4</v>
      </c>
      <c r="H6" s="13">
        <v>2</v>
      </c>
      <c r="I6" s="13">
        <v>1</v>
      </c>
      <c r="J6" s="13">
        <v>5</v>
      </c>
      <c r="K6" s="13">
        <v>4</v>
      </c>
      <c r="L6" s="13">
        <v>1</v>
      </c>
      <c r="M6" s="13">
        <v>4</v>
      </c>
      <c r="N6" s="13">
        <v>5</v>
      </c>
      <c r="O6" s="13">
        <v>2</v>
      </c>
      <c r="P6" s="13">
        <v>3</v>
      </c>
      <c r="Q6" s="13">
        <v>4</v>
      </c>
      <c r="R6" s="13">
        <v>1</v>
      </c>
      <c r="S6" s="13">
        <v>3</v>
      </c>
      <c r="T6" s="13">
        <v>3</v>
      </c>
      <c r="U6" s="13">
        <v>3</v>
      </c>
      <c r="V6" s="13">
        <v>4</v>
      </c>
      <c r="W6" s="13">
        <v>5</v>
      </c>
      <c r="X6" s="13">
        <f>(D6+F6+H6+J6+L6+N6+P6+R6+T6+V6)/10</f>
        <v>2.8</v>
      </c>
      <c r="Y6" s="13">
        <f>(E6+G6+I6+K6+M6+O6+Q6+S6+U6+W6)/10</f>
        <v>3.2</v>
      </c>
      <c r="Z6" s="18">
        <v>3</v>
      </c>
      <c r="AA6" s="18">
        <v>1</v>
      </c>
      <c r="AB6" s="18">
        <v>5</v>
      </c>
      <c r="AC6" s="18">
        <v>2</v>
      </c>
      <c r="AD6" s="18">
        <f>(X6+Z6+AB6)/3</f>
        <v>3.6</v>
      </c>
      <c r="AE6" s="18">
        <f>(Y6+AA6+AC6)/3</f>
        <v>2.0666666666666669</v>
      </c>
    </row>
    <row r="7" spans="1:31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8"/>
      <c r="AA7" s="18"/>
      <c r="AB7" s="18"/>
      <c r="AC7" s="18"/>
      <c r="AD7" s="18"/>
      <c r="AE7" s="18"/>
    </row>
    <row r="8" spans="1:3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8"/>
      <c r="AA8" s="18"/>
      <c r="AB8" s="18"/>
      <c r="AC8" s="18"/>
      <c r="AD8" s="18"/>
      <c r="AE8" s="18"/>
    </row>
    <row r="9" spans="1:31" x14ac:dyDescent="0.3">
      <c r="A9" s="13"/>
      <c r="B9" s="13"/>
      <c r="C9" s="13"/>
      <c r="D9" s="13"/>
      <c r="E9" s="13"/>
      <c r="F9" s="13"/>
      <c r="G9" s="13"/>
      <c r="H9" s="13"/>
      <c r="I9" s="13"/>
      <c r="J9" s="14"/>
      <c r="K9" s="14"/>
      <c r="L9" s="14"/>
      <c r="M9" s="14"/>
      <c r="N9" s="13"/>
      <c r="O9" s="13"/>
      <c r="P9" s="15"/>
      <c r="Q9" s="15"/>
      <c r="R9" s="13"/>
      <c r="S9" s="13"/>
      <c r="T9" s="13"/>
      <c r="U9" s="13"/>
      <c r="V9" s="14"/>
      <c r="W9" s="14"/>
      <c r="X9" s="14"/>
      <c r="Y9" s="13"/>
      <c r="Z9" s="18"/>
      <c r="AA9" s="18"/>
      <c r="AB9" s="18"/>
      <c r="AC9" s="18"/>
      <c r="AD9" s="18"/>
      <c r="AE9" s="18"/>
    </row>
    <row r="10" spans="1:3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6"/>
      <c r="K10" s="16"/>
      <c r="L10" s="16"/>
      <c r="M10" s="16"/>
      <c r="N10" s="13"/>
      <c r="O10" s="13"/>
      <c r="P10" s="13"/>
      <c r="Q10" s="13"/>
      <c r="R10" s="13"/>
      <c r="S10" s="13"/>
      <c r="T10" s="13"/>
      <c r="U10" s="13"/>
      <c r="V10" s="14"/>
      <c r="W10" s="14"/>
      <c r="X10" s="14"/>
      <c r="Y10" s="13"/>
      <c r="Z10" s="18"/>
      <c r="AA10" s="18"/>
      <c r="AB10" s="18"/>
      <c r="AC10" s="18"/>
      <c r="AD10" s="18"/>
      <c r="AE10" s="18"/>
    </row>
    <row r="11" spans="1:31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4"/>
      <c r="K11" s="14"/>
      <c r="L11" s="14"/>
      <c r="M11" s="14"/>
      <c r="N11" s="13"/>
      <c r="O11" s="13"/>
      <c r="P11" s="13"/>
      <c r="Q11" s="13"/>
      <c r="R11" s="13"/>
      <c r="S11" s="13"/>
      <c r="T11" s="13"/>
      <c r="U11" s="13"/>
      <c r="V11" s="14"/>
      <c r="W11" s="14"/>
      <c r="X11" s="14"/>
      <c r="Y11" s="13"/>
      <c r="Z11" s="18"/>
      <c r="AA11" s="18"/>
      <c r="AB11" s="18"/>
      <c r="AC11" s="18"/>
      <c r="AD11" s="18"/>
      <c r="AE11" s="18"/>
    </row>
    <row r="12" spans="1:3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4"/>
      <c r="K12" s="14"/>
      <c r="L12" s="14"/>
      <c r="M12" s="14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8"/>
      <c r="AA12" s="18"/>
      <c r="AB12" s="18"/>
      <c r="AC12" s="18"/>
      <c r="AD12" s="18"/>
      <c r="AE12" s="18"/>
    </row>
    <row r="13" spans="1:31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8"/>
      <c r="AA13" s="18"/>
      <c r="AB13" s="18"/>
      <c r="AC13" s="18"/>
      <c r="AD13" s="18"/>
      <c r="AE13" s="18"/>
    </row>
    <row r="14" spans="1:31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8"/>
      <c r="AA14" s="20"/>
      <c r="AB14" s="18"/>
      <c r="AC14" s="18"/>
      <c r="AD14" s="18"/>
      <c r="AE14" s="18"/>
    </row>
    <row r="15" spans="1:3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8"/>
      <c r="AA15" s="18"/>
      <c r="AB15" s="18"/>
      <c r="AC15" s="18"/>
      <c r="AD15" s="18"/>
      <c r="AE15" s="18"/>
    </row>
    <row r="16" spans="1:3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8"/>
      <c r="AA16" s="18"/>
      <c r="AB16" s="18"/>
      <c r="AC16" s="18"/>
      <c r="AD16" s="18"/>
      <c r="AE16" s="18"/>
    </row>
    <row r="17" spans="1:31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8"/>
      <c r="AA17" s="18"/>
      <c r="AB17" s="18"/>
      <c r="AC17" s="18"/>
      <c r="AD17" s="18"/>
      <c r="AE17" s="18"/>
    </row>
    <row r="18" spans="1:3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8"/>
      <c r="AA18" s="18"/>
      <c r="AB18" s="18"/>
      <c r="AC18" s="18"/>
      <c r="AD18" s="18"/>
      <c r="AE18" s="18"/>
    </row>
    <row r="19" spans="1:31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8"/>
      <c r="AA19" s="18"/>
      <c r="AB19" s="18"/>
      <c r="AC19" s="18"/>
      <c r="AD19" s="18"/>
      <c r="AE19" s="18"/>
    </row>
    <row r="20" spans="1:31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8"/>
      <c r="AA20" s="18"/>
      <c r="AB20" s="18"/>
      <c r="AC20" s="18"/>
      <c r="AD20" s="18"/>
      <c r="AE20" s="18"/>
    </row>
    <row r="21" spans="1:31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8"/>
      <c r="AA21" s="18"/>
      <c r="AB21" s="18"/>
      <c r="AC21" s="18"/>
      <c r="AD21" s="18"/>
      <c r="AE21" s="18"/>
    </row>
    <row r="22" spans="1:31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8"/>
      <c r="AA22" s="18"/>
      <c r="AB22" s="18"/>
      <c r="AC22" s="18"/>
      <c r="AD22" s="18"/>
      <c r="AE22" s="18"/>
    </row>
  </sheetData>
  <mergeCells count="40">
    <mergeCell ref="Z3:Z4"/>
    <mergeCell ref="AA3:AA4"/>
    <mergeCell ref="AB3:AB4"/>
    <mergeCell ref="AC3:AC4"/>
    <mergeCell ref="W1:AC1"/>
    <mergeCell ref="X2:Y2"/>
    <mergeCell ref="Z2:AA2"/>
    <mergeCell ref="AB2:AC2"/>
    <mergeCell ref="X3:X4"/>
    <mergeCell ref="Y3:Y4"/>
    <mergeCell ref="A1:V1"/>
    <mergeCell ref="A2:A5"/>
    <mergeCell ref="B2:B5"/>
    <mergeCell ref="C2:C5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AD2:AE4"/>
    <mergeCell ref="D3:E3"/>
    <mergeCell ref="D4:E4"/>
    <mergeCell ref="F3:G3"/>
    <mergeCell ref="H3:I3"/>
    <mergeCell ref="J3:K3"/>
    <mergeCell ref="J4:K4"/>
    <mergeCell ref="L3:M3"/>
    <mergeCell ref="N4:O4"/>
    <mergeCell ref="P4:Q4"/>
    <mergeCell ref="R4:S4"/>
    <mergeCell ref="T3:U4"/>
    <mergeCell ref="V3:W4"/>
    <mergeCell ref="R3:S3"/>
    <mergeCell ref="P3:Q3"/>
    <mergeCell ref="N3:O3"/>
  </mergeCells>
  <phoneticPr fontId="5" type="noConversion"/>
  <hyperlinks>
    <hyperlink ref="D4" r:id="rId1" xr:uid="{E1B8138B-EB60-411A-A0BC-D82D3EAFB2BD}"/>
    <hyperlink ref="J4" r:id="rId2" xr:uid="{F68EE8D4-26EF-4CEF-9525-CF42DD613C6C}"/>
    <hyperlink ref="N4" r:id="rId3" xr:uid="{5659DEE3-2214-4776-A442-34ECED2A1D80}"/>
    <hyperlink ref="P4" r:id="rId4" display="https://kickoff.ai/" xr:uid="{5CA8EBAB-8E65-4DE5-A807-EB2D542C6D87}"/>
    <hyperlink ref="R4" r:id="rId5" xr:uid="{9063B292-DE12-43C9-BA94-BC1BB8074A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Paginas_WEB</vt:lpstr>
      <vt:lpstr>Plantilla_Pronostico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2025-12-27T04:53:36Z</dcterms:modified>
</cp:coreProperties>
</file>